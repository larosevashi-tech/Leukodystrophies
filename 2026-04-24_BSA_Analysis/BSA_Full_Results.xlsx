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84eb85afec1bb5a/Documents/Lab_Projects/2026-04-24_BSA_Analysis/"/>
    </mc:Choice>
  </mc:AlternateContent>
  <xr:revisionPtr revIDLastSave="4" documentId="11_6F45290C9CE937A1A1EEA578021C8EF2C4A7E6D4" xr6:coauthVersionLast="47" xr6:coauthVersionMax="47" xr10:uidLastSave="{11DA90AD-6568-4B90-87D9-A201B1F348BD}"/>
  <bookViews>
    <workbookView xWindow="-108" yWindow="-108" windowWidth="23256" windowHeight="12576" activeTab="3" xr2:uid="{00000000-000D-0000-FFFF-FFFF00000000}"/>
  </bookViews>
  <sheets>
    <sheet name="Raw Data" sheetId="1" r:id="rId1"/>
    <sheet name="Averaged Data" sheetId="2" r:id="rId2"/>
    <sheet name="Standards" sheetId="3" r:id="rId3"/>
    <sheet name="Unknowns" sheetId="4" r:id="rId4"/>
    <sheet name="Standard Curve" sheetId="5" r:id="rId5"/>
    <sheet name="Curve + Unknowns" sheetId="6" r:id="rId6"/>
    <sheet name="Residual Plot" sheetId="7" r:id="rId7"/>
    <sheet name="CV Plot" sheetId="8" r:id="rId8"/>
    <sheet name="Recovery Plo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</calcChain>
</file>

<file path=xl/sharedStrings.xml><?xml version="1.0" encoding="utf-8"?>
<sst xmlns="http://schemas.openxmlformats.org/spreadsheetml/2006/main" count="130" uniqueCount="39">
  <si>
    <t>sample_id</t>
  </si>
  <si>
    <t>absorbance</t>
  </si>
  <si>
    <t>conc_mg_mL</t>
  </si>
  <si>
    <t>empty</t>
  </si>
  <si>
    <t>blank</t>
  </si>
  <si>
    <t>BSA_0.125</t>
  </si>
  <si>
    <t>BSA_0.25</t>
  </si>
  <si>
    <t>BSA_0.5</t>
  </si>
  <si>
    <t>BSA_1.0</t>
  </si>
  <si>
    <t>BSA_2.0</t>
  </si>
  <si>
    <t>m429.3</t>
  </si>
  <si>
    <t>m453.3</t>
  </si>
  <si>
    <t>m449.3</t>
  </si>
  <si>
    <t>m455.3</t>
  </si>
  <si>
    <t>m461.3</t>
  </si>
  <si>
    <t>c440.3</t>
  </si>
  <si>
    <t>c448.3</t>
  </si>
  <si>
    <t>c454.3</t>
  </si>
  <si>
    <t>c460.3</t>
  </si>
  <si>
    <t>c462.3</t>
  </si>
  <si>
    <t>mL439.1</t>
  </si>
  <si>
    <t>mL439.2</t>
  </si>
  <si>
    <t>cL442.1</t>
  </si>
  <si>
    <t>cL442.2</t>
  </si>
  <si>
    <t>hL445.1</t>
  </si>
  <si>
    <t>hL445.2</t>
  </si>
  <si>
    <t>Mean_Abs</t>
  </si>
  <si>
    <t>SD_Abs</t>
  </si>
  <si>
    <t>CV_pct</t>
  </si>
  <si>
    <t>n_reps</t>
  </si>
  <si>
    <t>fitted_abs</t>
  </si>
  <si>
    <t>residual</t>
  </si>
  <si>
    <t>conc_recovered</t>
  </si>
  <si>
    <t>recovery_pct</t>
  </si>
  <si>
    <t>abs_predicted</t>
  </si>
  <si>
    <t>abs_residual</t>
  </si>
  <si>
    <t>in_range</t>
  </si>
  <si>
    <t>In range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</si>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</sst>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4008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4008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4008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4008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4008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C46" totalsRowShown="0">
  <autoFilter ref="A1:C46" xr:uid="{00000000-0009-0000-0100-000003000000}"/>
  <tableColumns count="3">
    <tableColumn id="1" xr3:uid="{00000000-0010-0000-0000-000001000000}" name="sample_id"/>
    <tableColumn id="2" xr3:uid="{00000000-0010-0000-0000-000002000000}" name="absorbance"/>
    <tableColumn id="3" xr3:uid="{00000000-0010-0000-0000-000003000000}" name="conc_mg_m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F24" totalsRowShown="0">
  <autoFilter ref="A1:F24" xr:uid="{00000000-0009-0000-0100-000004000000}"/>
  <tableColumns count="6">
    <tableColumn id="1" xr3:uid="{00000000-0010-0000-0100-000001000000}" name="sample_id"/>
    <tableColumn id="2" xr3:uid="{00000000-0010-0000-0100-000002000000}" name="conc_mg_mL"/>
    <tableColumn id="3" xr3:uid="{00000000-0010-0000-0100-000003000000}" name="Mean_Abs"/>
    <tableColumn id="4" xr3:uid="{00000000-0010-0000-0100-000004000000}" name="SD_Abs"/>
    <tableColumn id="5" xr3:uid="{00000000-0010-0000-0100-000005000000}" name="CV_pct"/>
    <tableColumn id="6" xr3:uid="{00000000-0010-0000-0100-000006000000}" name="n_rep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H6" totalsRowShown="0">
  <autoFilter ref="A1:H6" xr:uid="{00000000-0009-0000-0100-000005000000}"/>
  <tableColumns count="8">
    <tableColumn id="1" xr3:uid="{00000000-0010-0000-0200-000001000000}" name="sample_id"/>
    <tableColumn id="2" xr3:uid="{00000000-0010-0000-0200-000002000000}" name="conc_mg_mL"/>
    <tableColumn id="3" xr3:uid="{00000000-0010-0000-0200-000003000000}" name="Mean_Abs"/>
    <tableColumn id="4" xr3:uid="{00000000-0010-0000-0200-000004000000}" name="SD_Abs"/>
    <tableColumn id="5" xr3:uid="{00000000-0010-0000-0200-000005000000}" name="fitted_abs"/>
    <tableColumn id="6" xr3:uid="{00000000-0010-0000-0200-000006000000}" name="residual"/>
    <tableColumn id="7" xr3:uid="{00000000-0010-0000-0200-000007000000}" name="conc_recovered"/>
    <tableColumn id="8" xr3:uid="{00000000-0010-0000-0200-000008000000}" name="recovery_pc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H17" totalsRowShown="0">
  <autoFilter ref="A1:H17" xr:uid="{00000000-0009-0000-0100-000006000000}"/>
  <tableColumns count="8">
    <tableColumn id="1" xr3:uid="{00000000-0010-0000-0300-000001000000}" name="sample_id"/>
    <tableColumn id="2" xr3:uid="{00000000-0010-0000-0300-000002000000}" name="Mean_Abs"/>
    <tableColumn id="3" xr3:uid="{00000000-0010-0000-0300-000003000000}" name="SD_Abs"/>
    <tableColumn id="4" xr3:uid="{00000000-0010-0000-0300-000004000000}" name="conc_mg_mL"/>
    <tableColumn id="5" xr3:uid="{00000000-0010-0000-0300-000005000000}" name="abs_predicted"/>
    <tableColumn id="6" xr3:uid="{00000000-0010-0000-0300-000006000000}" name="abs_residual"/>
    <tableColumn id="7" xr3:uid="{00000000-0010-0000-0300-000007000000}" name="in_range"/>
    <tableColumn id="8" xr3:uid="{5C3E0C26-3F4E-4983-B102-365901A5F426}" name="Column1" dataDxfId="0">
      <calculatedColumnFormula>Table6[[#This Row],[conc_mg_mL]]*20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workbookViewId="0"/>
  </sheetViews>
  <sheetFormatPr defaultColWidth="11.5546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8.8300000000000003E-2</v>
      </c>
      <c r="C2">
        <v>0</v>
      </c>
    </row>
    <row r="3" spans="1:3" x14ac:dyDescent="0.3">
      <c r="A3" t="s">
        <v>4</v>
      </c>
      <c r="B3">
        <v>0.213699996471405</v>
      </c>
      <c r="C3">
        <v>0</v>
      </c>
    </row>
    <row r="4" spans="1:3" x14ac:dyDescent="0.3">
      <c r="A4" t="s">
        <v>5</v>
      </c>
      <c r="B4">
        <v>0.522300004959106</v>
      </c>
      <c r="C4">
        <v>0.125</v>
      </c>
    </row>
    <row r="5" spans="1:3" x14ac:dyDescent="0.3">
      <c r="A5" t="s">
        <v>6</v>
      </c>
      <c r="B5">
        <v>0.72339999675750699</v>
      </c>
      <c r="C5">
        <v>0.25</v>
      </c>
    </row>
    <row r="6" spans="1:3" x14ac:dyDescent="0.3">
      <c r="A6" t="s">
        <v>7</v>
      </c>
      <c r="B6">
        <v>1.06630003452301</v>
      </c>
      <c r="C6">
        <v>0.5</v>
      </c>
    </row>
    <row r="7" spans="1:3" x14ac:dyDescent="0.3">
      <c r="A7" t="s">
        <v>8</v>
      </c>
      <c r="B7">
        <v>1.7378000020980799</v>
      </c>
      <c r="C7">
        <v>1</v>
      </c>
    </row>
    <row r="8" spans="1:3" x14ac:dyDescent="0.3">
      <c r="A8" t="s">
        <v>9</v>
      </c>
      <c r="B8">
        <v>2.86630010604858</v>
      </c>
      <c r="C8">
        <v>2</v>
      </c>
    </row>
    <row r="9" spans="1:3" x14ac:dyDescent="0.3">
      <c r="A9" t="s">
        <v>10</v>
      </c>
      <c r="B9">
        <v>0.87560000000000004</v>
      </c>
    </row>
    <row r="10" spans="1:3" x14ac:dyDescent="0.3">
      <c r="A10" t="s">
        <v>11</v>
      </c>
      <c r="B10">
        <v>0.99460000000000004</v>
      </c>
    </row>
    <row r="11" spans="1:3" x14ac:dyDescent="0.3">
      <c r="A11" t="s">
        <v>12</v>
      </c>
      <c r="B11">
        <v>1.1574</v>
      </c>
    </row>
    <row r="12" spans="1:3" x14ac:dyDescent="0.3">
      <c r="A12" t="s">
        <v>13</v>
      </c>
      <c r="B12">
        <v>0.83399999999999996</v>
      </c>
    </row>
    <row r="13" spans="1:3" x14ac:dyDescent="0.3">
      <c r="A13" t="s">
        <v>14</v>
      </c>
      <c r="B13">
        <v>1.1054999999999999</v>
      </c>
    </row>
    <row r="14" spans="1:3" x14ac:dyDescent="0.3">
      <c r="A14" t="s">
        <v>15</v>
      </c>
      <c r="B14">
        <v>1.1588000000000001</v>
      </c>
    </row>
    <row r="15" spans="1:3" x14ac:dyDescent="0.3">
      <c r="A15" t="s">
        <v>16</v>
      </c>
      <c r="B15">
        <v>1.0649</v>
      </c>
    </row>
    <row r="16" spans="1:3" x14ac:dyDescent="0.3">
      <c r="A16" t="s">
        <v>17</v>
      </c>
      <c r="B16">
        <v>0.96360000000000001</v>
      </c>
    </row>
    <row r="17" spans="1:3" x14ac:dyDescent="0.3">
      <c r="A17" t="s">
        <v>18</v>
      </c>
      <c r="B17">
        <v>0.91510000000000002</v>
      </c>
    </row>
    <row r="18" spans="1:3" x14ac:dyDescent="0.3">
      <c r="A18" t="s">
        <v>19</v>
      </c>
      <c r="B18">
        <v>0.90339999999999998</v>
      </c>
    </row>
    <row r="19" spans="1:3" x14ac:dyDescent="0.3">
      <c r="A19" t="s">
        <v>20</v>
      </c>
      <c r="B19">
        <v>1.1379999999999999</v>
      </c>
    </row>
    <row r="20" spans="1:3" x14ac:dyDescent="0.3">
      <c r="A20" t="s">
        <v>21</v>
      </c>
      <c r="B20">
        <v>0.82369999999999999</v>
      </c>
    </row>
    <row r="21" spans="1:3" x14ac:dyDescent="0.3">
      <c r="A21" t="s">
        <v>22</v>
      </c>
      <c r="B21">
        <v>1.5839000000000001</v>
      </c>
    </row>
    <row r="22" spans="1:3" x14ac:dyDescent="0.3">
      <c r="A22" t="s">
        <v>23</v>
      </c>
      <c r="B22">
        <v>1.1093999999999999</v>
      </c>
    </row>
    <row r="23" spans="1:3" x14ac:dyDescent="0.3">
      <c r="A23" t="s">
        <v>24</v>
      </c>
      <c r="B23">
        <v>0.9546</v>
      </c>
    </row>
    <row r="24" spans="1:3" x14ac:dyDescent="0.3">
      <c r="A24" t="s">
        <v>25</v>
      </c>
      <c r="B24">
        <v>1.1538999999999999</v>
      </c>
    </row>
    <row r="25" spans="1:3" x14ac:dyDescent="0.3">
      <c r="A25" t="s">
        <v>4</v>
      </c>
      <c r="B25">
        <v>0.228200003504753</v>
      </c>
      <c r="C25">
        <v>0</v>
      </c>
    </row>
    <row r="26" spans="1:3" x14ac:dyDescent="0.3">
      <c r="A26" t="s">
        <v>5</v>
      </c>
      <c r="B26">
        <v>0.55070000886917103</v>
      </c>
      <c r="C26">
        <v>0.125</v>
      </c>
    </row>
    <row r="27" spans="1:3" x14ac:dyDescent="0.3">
      <c r="A27" t="s">
        <v>6</v>
      </c>
      <c r="B27">
        <v>0.73879998922348</v>
      </c>
      <c r="C27">
        <v>0.25</v>
      </c>
    </row>
    <row r="28" spans="1:3" x14ac:dyDescent="0.3">
      <c r="A28" t="s">
        <v>7</v>
      </c>
      <c r="B28">
        <v>1.0999000072479199</v>
      </c>
      <c r="C28">
        <v>0.5</v>
      </c>
    </row>
    <row r="29" spans="1:3" x14ac:dyDescent="0.3">
      <c r="A29" t="s">
        <v>8</v>
      </c>
      <c r="B29">
        <v>1.68669998645782</v>
      </c>
      <c r="C29">
        <v>1</v>
      </c>
    </row>
    <row r="30" spans="1:3" x14ac:dyDescent="0.3">
      <c r="A30" t="s">
        <v>9</v>
      </c>
      <c r="B30">
        <v>2.4124000072479199</v>
      </c>
      <c r="C30">
        <v>2</v>
      </c>
    </row>
    <row r="31" spans="1:3" x14ac:dyDescent="0.3">
      <c r="A31" t="s">
        <v>10</v>
      </c>
      <c r="B31">
        <v>0.86809999999999998</v>
      </c>
    </row>
    <row r="32" spans="1:3" x14ac:dyDescent="0.3">
      <c r="A32" t="s">
        <v>11</v>
      </c>
      <c r="B32">
        <v>0.94750000000000001</v>
      </c>
    </row>
    <row r="33" spans="1:2" x14ac:dyDescent="0.3">
      <c r="A33" t="s">
        <v>12</v>
      </c>
      <c r="B33">
        <v>1.1415</v>
      </c>
    </row>
    <row r="34" spans="1:2" x14ac:dyDescent="0.3">
      <c r="A34" t="s">
        <v>13</v>
      </c>
      <c r="B34">
        <v>0.78380000000000005</v>
      </c>
    </row>
    <row r="35" spans="1:2" x14ac:dyDescent="0.3">
      <c r="A35" t="s">
        <v>14</v>
      </c>
      <c r="B35">
        <v>1.0649</v>
      </c>
    </row>
    <row r="36" spans="1:2" x14ac:dyDescent="0.3">
      <c r="A36" t="s">
        <v>15</v>
      </c>
      <c r="B36">
        <v>1.1331</v>
      </c>
    </row>
    <row r="37" spans="1:2" x14ac:dyDescent="0.3">
      <c r="A37" t="s">
        <v>16</v>
      </c>
      <c r="B37">
        <v>1.0638000000000001</v>
      </c>
    </row>
    <row r="38" spans="1:2" x14ac:dyDescent="0.3">
      <c r="A38" t="s">
        <v>17</v>
      </c>
      <c r="B38">
        <v>0.96860000000000002</v>
      </c>
    </row>
    <row r="39" spans="1:2" x14ac:dyDescent="0.3">
      <c r="A39" t="s">
        <v>18</v>
      </c>
      <c r="B39">
        <v>0.91149999999999998</v>
      </c>
    </row>
    <row r="40" spans="1:2" x14ac:dyDescent="0.3">
      <c r="A40" t="s">
        <v>19</v>
      </c>
      <c r="B40">
        <v>0.93149999999999999</v>
      </c>
    </row>
    <row r="41" spans="1:2" x14ac:dyDescent="0.3">
      <c r="A41" t="s">
        <v>20</v>
      </c>
      <c r="B41">
        <v>1.0975999999999999</v>
      </c>
    </row>
    <row r="42" spans="1:2" x14ac:dyDescent="0.3">
      <c r="A42" t="s">
        <v>21</v>
      </c>
      <c r="B42">
        <v>0.81950000000000001</v>
      </c>
    </row>
    <row r="43" spans="1:2" x14ac:dyDescent="0.3">
      <c r="A43" t="s">
        <v>22</v>
      </c>
      <c r="B43">
        <v>1.5770999999999999</v>
      </c>
    </row>
    <row r="44" spans="1:2" x14ac:dyDescent="0.3">
      <c r="A44" t="s">
        <v>23</v>
      </c>
      <c r="B44">
        <v>1.0832999999999999</v>
      </c>
    </row>
    <row r="45" spans="1:2" x14ac:dyDescent="0.3">
      <c r="A45" t="s">
        <v>24</v>
      </c>
      <c r="B45">
        <v>0.98080000000000001</v>
      </c>
    </row>
    <row r="46" spans="1:2" x14ac:dyDescent="0.3">
      <c r="A46" t="s">
        <v>25</v>
      </c>
      <c r="B46">
        <v>1.2141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/>
  </sheetViews>
  <sheetFormatPr defaultColWidth="11.5546875" defaultRowHeight="14.4" x14ac:dyDescent="0.3"/>
  <sheetData>
    <row r="1" spans="1:6" x14ac:dyDescent="0.3">
      <c r="A1" t="s">
        <v>0</v>
      </c>
      <c r="B1" t="s">
        <v>2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3">
      <c r="A2" t="s">
        <v>5</v>
      </c>
      <c r="B2">
        <v>0.125</v>
      </c>
      <c r="C2">
        <v>0.31555000692606</v>
      </c>
      <c r="D2">
        <v>2.0081835350531201E-2</v>
      </c>
      <c r="E2">
        <v>3.7431193088027501</v>
      </c>
      <c r="F2">
        <v>2</v>
      </c>
    </row>
    <row r="3" spans="1:6" x14ac:dyDescent="0.3">
      <c r="A3" t="s">
        <v>6</v>
      </c>
      <c r="B3">
        <v>0.25</v>
      </c>
      <c r="C3">
        <v>0.51014999300241504</v>
      </c>
      <c r="D3">
        <v>1.0889439102911199E-2</v>
      </c>
      <c r="E3">
        <v>1.4894596098091799</v>
      </c>
      <c r="F3">
        <v>2</v>
      </c>
    </row>
    <row r="4" spans="1:6" x14ac:dyDescent="0.3">
      <c r="A4" t="s">
        <v>7</v>
      </c>
      <c r="B4">
        <v>0.5</v>
      </c>
      <c r="C4">
        <v>0.86215002089738801</v>
      </c>
      <c r="D4">
        <v>2.3758768561470099E-2</v>
      </c>
      <c r="E4">
        <v>2.1935895211271998</v>
      </c>
      <c r="F4">
        <v>2</v>
      </c>
    </row>
    <row r="5" spans="1:6" x14ac:dyDescent="0.3">
      <c r="A5" t="s">
        <v>8</v>
      </c>
      <c r="B5">
        <v>1</v>
      </c>
      <c r="C5">
        <v>1.4912999942898799</v>
      </c>
      <c r="D5">
        <v>3.61331675779656E-2</v>
      </c>
      <c r="E5">
        <v>2.11027406621209</v>
      </c>
      <c r="F5">
        <v>2</v>
      </c>
    </row>
    <row r="6" spans="1:6" x14ac:dyDescent="0.3">
      <c r="A6" t="s">
        <v>9</v>
      </c>
      <c r="B6">
        <v>2</v>
      </c>
      <c r="C6">
        <v>2.4184000566601802</v>
      </c>
      <c r="D6">
        <v>0.32095583784318998</v>
      </c>
      <c r="E6">
        <v>12.1604118799905</v>
      </c>
      <c r="F6">
        <v>2</v>
      </c>
    </row>
    <row r="7" spans="1:6" x14ac:dyDescent="0.3">
      <c r="A7" t="s">
        <v>4</v>
      </c>
      <c r="B7">
        <v>0</v>
      </c>
      <c r="C7">
        <v>0</v>
      </c>
      <c r="D7">
        <v>1.02530533005331E-2</v>
      </c>
      <c r="E7">
        <v>4.6404405073936399</v>
      </c>
      <c r="F7">
        <v>2</v>
      </c>
    </row>
    <row r="8" spans="1:6" x14ac:dyDescent="0.3">
      <c r="A8" t="s">
        <v>15</v>
      </c>
      <c r="C8">
        <v>0.92500000001192095</v>
      </c>
      <c r="D8">
        <v>1.8172644276494301E-2</v>
      </c>
      <c r="E8">
        <v>1.5858147629909101</v>
      </c>
      <c r="F8">
        <v>2</v>
      </c>
    </row>
    <row r="9" spans="1:6" x14ac:dyDescent="0.3">
      <c r="A9" t="s">
        <v>16</v>
      </c>
      <c r="C9">
        <v>0.84340000001192095</v>
      </c>
      <c r="D9">
        <v>7.7781745930511704E-4</v>
      </c>
      <c r="E9">
        <v>7.30791054920953E-2</v>
      </c>
      <c r="F9">
        <v>2</v>
      </c>
    </row>
    <row r="10" spans="1:6" x14ac:dyDescent="0.3">
      <c r="A10" t="s">
        <v>17</v>
      </c>
      <c r="C10">
        <v>0.745150000011921</v>
      </c>
      <c r="D10">
        <v>3.5355339059327398E-3</v>
      </c>
      <c r="E10">
        <v>0.36595941475341498</v>
      </c>
      <c r="F10">
        <v>2</v>
      </c>
    </row>
    <row r="11" spans="1:6" x14ac:dyDescent="0.3">
      <c r="A11" t="s">
        <v>18</v>
      </c>
      <c r="C11">
        <v>0.69235000001192104</v>
      </c>
      <c r="D11">
        <v>2.5455844122716001E-3</v>
      </c>
      <c r="E11">
        <v>0.27872379418281001</v>
      </c>
      <c r="F11">
        <v>2</v>
      </c>
    </row>
    <row r="12" spans="1:6" x14ac:dyDescent="0.3">
      <c r="A12" t="s">
        <v>19</v>
      </c>
      <c r="C12">
        <v>0.69650000001192103</v>
      </c>
      <c r="D12">
        <v>1.9869700551342E-2</v>
      </c>
      <c r="E12">
        <v>2.1657529621605498</v>
      </c>
      <c r="F12">
        <v>2</v>
      </c>
    </row>
    <row r="13" spans="1:6" x14ac:dyDescent="0.3">
      <c r="A13" t="s">
        <v>22</v>
      </c>
      <c r="C13">
        <v>1.3595500000119201</v>
      </c>
      <c r="D13">
        <v>4.8083261120686199E-3</v>
      </c>
      <c r="E13">
        <v>0.30422816273765402</v>
      </c>
      <c r="F13">
        <v>2</v>
      </c>
    </row>
    <row r="14" spans="1:6" x14ac:dyDescent="0.3">
      <c r="A14" t="s">
        <v>23</v>
      </c>
      <c r="C14">
        <v>0.87540000001192098</v>
      </c>
      <c r="D14">
        <v>1.84554869889689E-2</v>
      </c>
      <c r="E14">
        <v>1.68335722980516</v>
      </c>
      <c r="F14">
        <v>2</v>
      </c>
    </row>
    <row r="15" spans="1:6" x14ac:dyDescent="0.3">
      <c r="A15" t="s">
        <v>3</v>
      </c>
      <c r="B15">
        <v>0</v>
      </c>
      <c r="C15">
        <v>-0.132649999988079</v>
      </c>
      <c r="F15">
        <v>1</v>
      </c>
    </row>
    <row r="16" spans="1:6" x14ac:dyDescent="0.3">
      <c r="A16" t="s">
        <v>24</v>
      </c>
      <c r="C16">
        <v>0.74675000001192104</v>
      </c>
      <c r="D16">
        <v>1.8526197667087501E-2</v>
      </c>
      <c r="E16">
        <v>1.91445671872352</v>
      </c>
      <c r="F16">
        <v>2</v>
      </c>
    </row>
    <row r="17" spans="1:6" x14ac:dyDescent="0.3">
      <c r="A17" t="s">
        <v>25</v>
      </c>
      <c r="C17">
        <v>0.96305000001192098</v>
      </c>
      <c r="D17">
        <v>4.2567828227430202E-2</v>
      </c>
      <c r="E17">
        <v>3.59525576245187</v>
      </c>
      <c r="F17">
        <v>2</v>
      </c>
    </row>
    <row r="18" spans="1:6" x14ac:dyDescent="0.3">
      <c r="A18" t="s">
        <v>10</v>
      </c>
      <c r="C18">
        <v>0.65090000001192105</v>
      </c>
      <c r="D18">
        <v>5.3033008588991501E-3</v>
      </c>
      <c r="E18">
        <v>0.60828133955372499</v>
      </c>
      <c r="F18">
        <v>2</v>
      </c>
    </row>
    <row r="19" spans="1:6" x14ac:dyDescent="0.3">
      <c r="A19" t="s">
        <v>12</v>
      </c>
      <c r="C19">
        <v>0.92850000001192101</v>
      </c>
      <c r="D19">
        <v>1.12429978208661E-2</v>
      </c>
      <c r="E19">
        <v>0.97811978084006501</v>
      </c>
      <c r="F19">
        <v>2</v>
      </c>
    </row>
    <row r="20" spans="1:6" x14ac:dyDescent="0.3">
      <c r="A20" t="s">
        <v>11</v>
      </c>
      <c r="C20">
        <v>0.75010000001192101</v>
      </c>
      <c r="D20">
        <v>3.3304729393886401E-2</v>
      </c>
      <c r="E20">
        <v>3.4297646252908098</v>
      </c>
      <c r="F20">
        <v>2</v>
      </c>
    </row>
    <row r="21" spans="1:6" x14ac:dyDescent="0.3">
      <c r="A21" t="s">
        <v>13</v>
      </c>
      <c r="C21">
        <v>0.58795000001192099</v>
      </c>
      <c r="D21">
        <v>3.5496760415564599E-2</v>
      </c>
      <c r="E21">
        <v>4.3882754871510201</v>
      </c>
      <c r="F21">
        <v>2</v>
      </c>
    </row>
    <row r="22" spans="1:6" x14ac:dyDescent="0.3">
      <c r="A22" t="s">
        <v>14</v>
      </c>
      <c r="C22">
        <v>0.86425000001192098</v>
      </c>
      <c r="D22">
        <v>2.8708535316173799E-2</v>
      </c>
      <c r="E22">
        <v>2.6454603129537202</v>
      </c>
      <c r="F22">
        <v>2</v>
      </c>
    </row>
    <row r="23" spans="1:6" x14ac:dyDescent="0.3">
      <c r="A23" t="s">
        <v>20</v>
      </c>
      <c r="C23">
        <v>0.89685000001192094</v>
      </c>
      <c r="D23">
        <v>2.85671139599365E-2</v>
      </c>
      <c r="E23">
        <v>2.5556552120179399</v>
      </c>
      <c r="F23">
        <v>2</v>
      </c>
    </row>
    <row r="24" spans="1:6" x14ac:dyDescent="0.3">
      <c r="A24" t="s">
        <v>21</v>
      </c>
      <c r="C24">
        <v>0.60065000001192104</v>
      </c>
      <c r="D24">
        <v>2.9698484809834902E-3</v>
      </c>
      <c r="E24">
        <v>0.36147133410217702</v>
      </c>
      <c r="F24">
        <v>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/>
  </sheetViews>
  <sheetFormatPr defaultColWidth="11.5546875" defaultRowHeight="14.4" x14ac:dyDescent="0.3"/>
  <sheetData>
    <row r="1" spans="1:8" x14ac:dyDescent="0.3">
      <c r="A1" t="s">
        <v>0</v>
      </c>
      <c r="B1" t="s">
        <v>2</v>
      </c>
      <c r="C1" t="s">
        <v>26</v>
      </c>
      <c r="D1" t="s">
        <v>27</v>
      </c>
      <c r="E1" t="s">
        <v>30</v>
      </c>
      <c r="F1" t="s">
        <v>31</v>
      </c>
      <c r="G1" t="s">
        <v>32</v>
      </c>
      <c r="H1" t="s">
        <v>33</v>
      </c>
    </row>
    <row r="2" spans="1:8" x14ac:dyDescent="0.3">
      <c r="A2" t="s">
        <v>5</v>
      </c>
      <c r="B2">
        <v>0.125</v>
      </c>
      <c r="C2">
        <v>0.31555000692606</v>
      </c>
      <c r="D2">
        <v>2.0081835350531201E-2</v>
      </c>
      <c r="E2">
        <v>0.31816556701491999</v>
      </c>
      <c r="F2">
        <v>-2.6155600888599401E-3</v>
      </c>
      <c r="G2">
        <v>0.123296473363671</v>
      </c>
      <c r="H2">
        <v>98.637178690937205</v>
      </c>
    </row>
    <row r="3" spans="1:8" x14ac:dyDescent="0.3">
      <c r="A3" t="s">
        <v>6</v>
      </c>
      <c r="B3">
        <v>0.25</v>
      </c>
      <c r="C3">
        <v>0.51014999300241504</v>
      </c>
      <c r="D3">
        <v>1.0889439102911199E-2</v>
      </c>
      <c r="E3">
        <v>0.50658302123621202</v>
      </c>
      <c r="F3">
        <v>3.5669717662025801E-3</v>
      </c>
      <c r="G3">
        <v>0.25241151251626598</v>
      </c>
      <c r="H3">
        <v>100.96460500650601</v>
      </c>
    </row>
    <row r="4" spans="1:8" x14ac:dyDescent="0.3">
      <c r="A4" t="s">
        <v>7</v>
      </c>
      <c r="B4">
        <v>0.5</v>
      </c>
      <c r="C4">
        <v>0.86215002089738801</v>
      </c>
      <c r="D4">
        <v>2.3758768561470099E-2</v>
      </c>
      <c r="E4">
        <v>0.86267068379386003</v>
      </c>
      <c r="F4">
        <v>-5.2066289647156904E-4</v>
      </c>
      <c r="G4">
        <v>0.49961970671121803</v>
      </c>
      <c r="H4">
        <v>99.923941342243594</v>
      </c>
    </row>
    <row r="5" spans="1:8" x14ac:dyDescent="0.3">
      <c r="A5" t="s">
        <v>8</v>
      </c>
      <c r="B5">
        <v>1</v>
      </c>
      <c r="C5">
        <v>1.4912999942898799</v>
      </c>
      <c r="D5">
        <v>3.61331675779656E-2</v>
      </c>
      <c r="E5">
        <v>1.4918570253694099</v>
      </c>
      <c r="F5">
        <v>-5.5703107953286601E-4</v>
      </c>
      <c r="G5">
        <v>0.99951470862356195</v>
      </c>
      <c r="H5">
        <v>99.951470862356203</v>
      </c>
    </row>
    <row r="6" spans="1:8" x14ac:dyDescent="0.3">
      <c r="A6" t="s">
        <v>9</v>
      </c>
      <c r="B6">
        <v>2</v>
      </c>
      <c r="C6">
        <v>2.4184000566601802</v>
      </c>
      <c r="D6">
        <v>0.32095583784318998</v>
      </c>
      <c r="E6">
        <v>2.4182737743615101</v>
      </c>
      <c r="F6">
        <v>1.2628229866207301E-4</v>
      </c>
      <c r="G6">
        <v>2.0001791052425602</v>
      </c>
      <c r="H6">
        <v>100.008955262128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tabSelected="1" workbookViewId="0">
      <selection activeCell="K18" sqref="K18"/>
    </sheetView>
  </sheetViews>
  <sheetFormatPr defaultColWidth="11.5546875" defaultRowHeight="14.4" x14ac:dyDescent="0.3"/>
  <sheetData>
    <row r="1" spans="1:8" x14ac:dyDescent="0.3">
      <c r="A1" t="s">
        <v>0</v>
      </c>
      <c r="B1" t="s">
        <v>26</v>
      </c>
      <c r="C1" t="s">
        <v>27</v>
      </c>
      <c r="D1" t="s">
        <v>2</v>
      </c>
      <c r="E1" t="s">
        <v>34</v>
      </c>
      <c r="F1" t="s">
        <v>35</v>
      </c>
      <c r="G1" t="s">
        <v>36</v>
      </c>
      <c r="H1" t="s">
        <v>38</v>
      </c>
    </row>
    <row r="2" spans="1:8" x14ac:dyDescent="0.3">
      <c r="A2" t="s">
        <v>15</v>
      </c>
      <c r="B2">
        <v>0.92500000001192095</v>
      </c>
      <c r="C2">
        <v>1.8172644276494301E-2</v>
      </c>
      <c r="D2">
        <v>0.54586836224622404</v>
      </c>
      <c r="E2">
        <v>0.92500000001192095</v>
      </c>
      <c r="F2">
        <v>4.4408920985006301E-16</v>
      </c>
      <c r="G2" t="s">
        <v>37</v>
      </c>
      <c r="H2">
        <f>Table6[[#This Row],[conc_mg_mL]]*20</f>
        <v>10.917367244924481</v>
      </c>
    </row>
    <row r="3" spans="1:8" x14ac:dyDescent="0.3">
      <c r="A3" t="s">
        <v>16</v>
      </c>
      <c r="B3">
        <v>0.84340000001192095</v>
      </c>
      <c r="C3">
        <v>7.7781745930511704E-4</v>
      </c>
      <c r="D3">
        <v>0.485955670756059</v>
      </c>
      <c r="E3">
        <v>0.84340000001192095</v>
      </c>
      <c r="F3">
        <v>1.11022302462516E-16</v>
      </c>
      <c r="G3" t="s">
        <v>37</v>
      </c>
      <c r="H3">
        <f>Table6[[#This Row],[conc_mg_mL]]*20</f>
        <v>9.7191134151211802</v>
      </c>
    </row>
    <row r="4" spans="1:8" x14ac:dyDescent="0.3">
      <c r="A4" t="s">
        <v>17</v>
      </c>
      <c r="B4">
        <v>0.745150000011921</v>
      </c>
      <c r="C4">
        <v>3.5355339059327398E-3</v>
      </c>
      <c r="D4">
        <v>0.41531660814538701</v>
      </c>
      <c r="E4">
        <v>0.745150000011921</v>
      </c>
      <c r="F4">
        <v>-1.11022302462516E-16</v>
      </c>
      <c r="G4" t="s">
        <v>37</v>
      </c>
      <c r="H4">
        <f>Table6[[#This Row],[conc_mg_mL]]*20</f>
        <v>8.30633216290774</v>
      </c>
    </row>
    <row r="5" spans="1:8" x14ac:dyDescent="0.3">
      <c r="A5" t="s">
        <v>18</v>
      </c>
      <c r="B5">
        <v>0.69235000001192104</v>
      </c>
      <c r="C5">
        <v>2.5455844122716001E-3</v>
      </c>
      <c r="D5">
        <v>0.37799593328470199</v>
      </c>
      <c r="E5">
        <v>0.69235000001192104</v>
      </c>
      <c r="F5">
        <v>0</v>
      </c>
      <c r="G5" t="s">
        <v>37</v>
      </c>
      <c r="H5">
        <f>Table6[[#This Row],[conc_mg_mL]]*20</f>
        <v>7.55991866569404</v>
      </c>
    </row>
    <row r="6" spans="1:8" x14ac:dyDescent="0.3">
      <c r="A6" t="s">
        <v>19</v>
      </c>
      <c r="B6">
        <v>0.69650000001192103</v>
      </c>
      <c r="C6">
        <v>1.9869700551342E-2</v>
      </c>
      <c r="D6">
        <v>0.38091358053363999</v>
      </c>
      <c r="E6">
        <v>0.69650000001192103</v>
      </c>
      <c r="F6">
        <v>1.11022302462516E-16</v>
      </c>
      <c r="G6" t="s">
        <v>37</v>
      </c>
      <c r="H6">
        <f>Table6[[#This Row],[conc_mg_mL]]*20</f>
        <v>7.6182716106727995</v>
      </c>
    </row>
    <row r="7" spans="1:8" x14ac:dyDescent="0.3">
      <c r="A7" t="s">
        <v>22</v>
      </c>
      <c r="B7">
        <v>1.3595500000119201</v>
      </c>
      <c r="C7">
        <v>4.8083261120686199E-3</v>
      </c>
      <c r="D7">
        <v>0.88717637569923202</v>
      </c>
      <c r="E7">
        <v>1.3595500000119201</v>
      </c>
      <c r="F7">
        <v>2.2204460492503101E-16</v>
      </c>
      <c r="G7" t="s">
        <v>37</v>
      </c>
      <c r="H7">
        <f>Table6[[#This Row],[conc_mg_mL]]*20</f>
        <v>17.743527513984642</v>
      </c>
    </row>
    <row r="8" spans="1:8" x14ac:dyDescent="0.3">
      <c r="A8" t="s">
        <v>23</v>
      </c>
      <c r="B8">
        <v>0.87540000001192098</v>
      </c>
      <c r="C8">
        <v>1.84554869889689E-2</v>
      </c>
      <c r="D8">
        <v>0.50931210885681599</v>
      </c>
      <c r="E8">
        <v>0.87540000001192098</v>
      </c>
      <c r="F8">
        <v>2.2204460492503101E-16</v>
      </c>
      <c r="G8" t="s">
        <v>37</v>
      </c>
      <c r="H8">
        <f>Table6[[#This Row],[conc_mg_mL]]*20</f>
        <v>10.18624217713632</v>
      </c>
    </row>
    <row r="9" spans="1:8" x14ac:dyDescent="0.3">
      <c r="A9" t="s">
        <v>24</v>
      </c>
      <c r="B9">
        <v>0.74675000001192104</v>
      </c>
      <c r="C9">
        <v>1.8526197667087501E-2</v>
      </c>
      <c r="D9">
        <v>0.41645438235790699</v>
      </c>
      <c r="E9">
        <v>0.74675000001192104</v>
      </c>
      <c r="F9">
        <v>-1.11022302462516E-16</v>
      </c>
      <c r="G9" t="s">
        <v>37</v>
      </c>
      <c r="H9">
        <f>Table6[[#This Row],[conc_mg_mL]]*20</f>
        <v>8.3290876471581399</v>
      </c>
    </row>
    <row r="10" spans="1:8" x14ac:dyDescent="0.3">
      <c r="A10" t="s">
        <v>25</v>
      </c>
      <c r="B10">
        <v>0.96305000001192098</v>
      </c>
      <c r="C10">
        <v>4.2567828227430202E-2</v>
      </c>
      <c r="D10">
        <v>0.574212053962601</v>
      </c>
      <c r="E10">
        <v>0.96305000001192098</v>
      </c>
      <c r="F10">
        <v>1.11022302462516E-16</v>
      </c>
      <c r="G10" t="s">
        <v>37</v>
      </c>
      <c r="H10">
        <f>Table6[[#This Row],[conc_mg_mL]]*20</f>
        <v>11.484241079252019</v>
      </c>
    </row>
    <row r="11" spans="1:8" x14ac:dyDescent="0.3">
      <c r="A11" t="s">
        <v>10</v>
      </c>
      <c r="B11">
        <v>0.65090000001192105</v>
      </c>
      <c r="C11">
        <v>5.3033008588991501E-3</v>
      </c>
      <c r="D11">
        <v>0.34899860122945497</v>
      </c>
      <c r="E11">
        <v>0.65090000001192105</v>
      </c>
      <c r="F11">
        <v>-2.2204460492503101E-16</v>
      </c>
      <c r="G11" t="s">
        <v>37</v>
      </c>
      <c r="H11">
        <f>Table6[[#This Row],[conc_mg_mL]]*20</f>
        <v>6.9799720245890997</v>
      </c>
    </row>
    <row r="12" spans="1:8" x14ac:dyDescent="0.3">
      <c r="A12" t="s">
        <v>12</v>
      </c>
      <c r="B12">
        <v>0.92850000001192101</v>
      </c>
      <c r="C12">
        <v>1.12429978208661E-2</v>
      </c>
      <c r="D12">
        <v>0.54846451556471998</v>
      </c>
      <c r="E12">
        <v>0.92850000001192101</v>
      </c>
      <c r="F12">
        <v>0</v>
      </c>
      <c r="G12" t="s">
        <v>37</v>
      </c>
      <c r="H12">
        <f>Table6[[#This Row],[conc_mg_mL]]*20</f>
        <v>10.969290311294399</v>
      </c>
    </row>
    <row r="13" spans="1:8" x14ac:dyDescent="0.3">
      <c r="A13" t="s">
        <v>11</v>
      </c>
      <c r="B13">
        <v>0.75010000001192101</v>
      </c>
      <c r="C13">
        <v>3.3304729393886401E-2</v>
      </c>
      <c r="D13">
        <v>0.41883791795825398</v>
      </c>
      <c r="E13">
        <v>0.75010000001192101</v>
      </c>
      <c r="F13">
        <v>1.11022302462516E-16</v>
      </c>
      <c r="G13" t="s">
        <v>37</v>
      </c>
      <c r="H13">
        <f>Table6[[#This Row],[conc_mg_mL]]*20</f>
        <v>8.3767583591650805</v>
      </c>
    </row>
    <row r="14" spans="1:8" x14ac:dyDescent="0.3">
      <c r="A14" t="s">
        <v>13</v>
      </c>
      <c r="B14">
        <v>0.58795000001192099</v>
      </c>
      <c r="C14">
        <v>3.5496760415564599E-2</v>
      </c>
      <c r="D14">
        <v>0.30544955533721202</v>
      </c>
      <c r="E14">
        <v>0.58795000001191999</v>
      </c>
      <c r="F14">
        <v>4.4408920985006301E-16</v>
      </c>
      <c r="G14" t="s">
        <v>37</v>
      </c>
      <c r="H14">
        <f>Table6[[#This Row],[conc_mg_mL]]*20</f>
        <v>6.1089911067442406</v>
      </c>
    </row>
    <row r="15" spans="1:8" x14ac:dyDescent="0.3">
      <c r="A15" t="s">
        <v>14</v>
      </c>
      <c r="B15">
        <v>0.86425000001192098</v>
      </c>
      <c r="C15">
        <v>2.8708535316173799E-2</v>
      </c>
      <c r="D15">
        <v>0.50115382205007597</v>
      </c>
      <c r="E15">
        <v>0.86425000001192098</v>
      </c>
      <c r="F15">
        <v>3.3306690738754701E-16</v>
      </c>
      <c r="G15" t="s">
        <v>37</v>
      </c>
      <c r="H15">
        <f>Table6[[#This Row],[conc_mg_mL]]*20</f>
        <v>10.023076441001519</v>
      </c>
    </row>
    <row r="16" spans="1:8" x14ac:dyDescent="0.3">
      <c r="A16" t="s">
        <v>20</v>
      </c>
      <c r="B16">
        <v>0.89685000001192094</v>
      </c>
      <c r="C16">
        <v>2.85671139599365E-2</v>
      </c>
      <c r="D16">
        <v>0.52506776025287305</v>
      </c>
      <c r="E16">
        <v>0.89685000001192094</v>
      </c>
      <c r="F16">
        <v>1.11022302462516E-16</v>
      </c>
      <c r="G16" t="s">
        <v>37</v>
      </c>
      <c r="H16">
        <f>Table6[[#This Row],[conc_mg_mL]]*20</f>
        <v>10.501355205057461</v>
      </c>
    </row>
    <row r="17" spans="1:8" x14ac:dyDescent="0.3">
      <c r="A17" t="s">
        <v>21</v>
      </c>
      <c r="B17">
        <v>0.60065000001192104</v>
      </c>
      <c r="C17">
        <v>2.9698484809834902E-3</v>
      </c>
      <c r="D17">
        <v>0.31418888814811502</v>
      </c>
      <c r="E17">
        <v>0.60065000001192104</v>
      </c>
      <c r="F17">
        <v>0</v>
      </c>
      <c r="G17" t="s">
        <v>37</v>
      </c>
      <c r="H17">
        <f>Table6[[#This Row],[conc_mg_mL]]*20</f>
        <v>6.2837777629623002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Data</vt:lpstr>
      <vt:lpstr>Averaged Data</vt:lpstr>
      <vt:lpstr>Standards</vt:lpstr>
      <vt:lpstr>Unknowns</vt:lpstr>
      <vt:lpstr>Standard Curve</vt:lpstr>
      <vt:lpstr>Curve + Unknowns</vt:lpstr>
      <vt:lpstr>Residual Plot</vt:lpstr>
      <vt:lpstr>CV Plot</vt:lpstr>
      <vt:lpstr>Recovery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Bernard420</dc:creator>
  <cp:lastModifiedBy>Dr Bernard</cp:lastModifiedBy>
  <dcterms:created xsi:type="dcterms:W3CDTF">2026-04-28T20:59:48Z</dcterms:created>
  <dcterms:modified xsi:type="dcterms:W3CDTF">2026-04-28T21:04:05Z</dcterms:modified>
</cp:coreProperties>
</file>